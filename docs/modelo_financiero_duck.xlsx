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uestos" sheetId="1" state="visible" r:id="rId1"/>
    <sheet xmlns:r="http://schemas.openxmlformats.org/officeDocument/2006/relationships" name="Escenarios" sheetId="2" state="visible" r:id="rId2"/>
    <sheet xmlns:r="http://schemas.openxmlformats.org/officeDocument/2006/relationships" name="Caja 12 meses" sheetId="3" state="visible" r:id="rId3"/>
    <sheet xmlns:r="http://schemas.openxmlformats.org/officeDocument/2006/relationships" name="Riesgos y métr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6B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4" customWidth="1" min="5" max="5"/>
    <col width="42" customWidth="1" min="6" max="6"/>
  </cols>
  <sheetData>
    <row r="1">
      <c r="A1" s="1" t="inlineStr">
        <is>
          <t>Variable</t>
        </is>
      </c>
      <c r="B1" s="1" t="inlineStr">
        <is>
          <t>Conservador</t>
        </is>
      </c>
      <c r="C1" s="1" t="inlineStr">
        <is>
          <t>Base</t>
        </is>
      </c>
      <c r="D1" s="1" t="inlineStr">
        <is>
          <t>Expansivo</t>
        </is>
      </c>
      <c r="E1" s="1" t="inlineStr">
        <is>
          <t>Unidad</t>
        </is>
      </c>
      <c r="F1" s="1" t="inlineStr">
        <is>
          <t>Origen / nota</t>
        </is>
      </c>
    </row>
    <row r="2">
      <c r="A2" s="2" t="inlineStr">
        <is>
          <t>Proyectos de producción / mes</t>
        </is>
      </c>
      <c r="B2" s="2" t="n">
        <v>2</v>
      </c>
      <c r="C2" s="2" t="n">
        <v>4</v>
      </c>
      <c r="D2" s="2" t="n">
        <v>7</v>
      </c>
      <c r="E2" s="2" t="inlineStr">
        <is>
          <t>proyectos</t>
        </is>
      </c>
      <c r="F2" s="2" t="inlineStr">
        <is>
          <t>Supuesto editable; no es dato histórico</t>
        </is>
      </c>
    </row>
    <row r="3">
      <c r="A3" s="2" t="inlineStr">
        <is>
          <t>Ticket medio de producción</t>
        </is>
      </c>
      <c r="B3" s="2" t="n">
        <v>500</v>
      </c>
      <c r="C3" s="2" t="n">
        <v>750</v>
      </c>
      <c r="D3" s="2" t="n">
        <v>1000</v>
      </c>
      <c r="E3" s="2" t="inlineStr">
        <is>
          <t>EUR</t>
        </is>
      </c>
      <c r="F3" s="2" t="inlineStr">
        <is>
          <t>Supuesto editable</t>
        </is>
      </c>
    </row>
    <row r="4">
      <c r="A4" s="2" t="inlineStr">
        <is>
          <t>Beats no exclusivos / mes</t>
        </is>
      </c>
      <c r="B4" s="2" t="n">
        <v>3</v>
      </c>
      <c r="C4" s="2" t="n">
        <v>8</v>
      </c>
      <c r="D4" s="2" t="n">
        <v>15</v>
      </c>
      <c r="E4" s="2" t="inlineStr">
        <is>
          <t>ventas</t>
        </is>
      </c>
      <c r="F4" s="2" t="inlineStr">
        <is>
          <t>Supuesto editable</t>
        </is>
      </c>
    </row>
    <row r="5">
      <c r="A5" s="2" t="inlineStr">
        <is>
          <t>Precio medio beat no exclusivo</t>
        </is>
      </c>
      <c r="B5" s="2" t="n">
        <v>60</v>
      </c>
      <c r="C5" s="2" t="n">
        <v>75</v>
      </c>
      <c r="D5" s="2" t="n">
        <v>90</v>
      </c>
      <c r="E5" s="2" t="inlineStr">
        <is>
          <t>EUR</t>
        </is>
      </c>
      <c r="F5" s="2" t="inlineStr">
        <is>
          <t>Supuesto editable</t>
        </is>
      </c>
    </row>
    <row r="6">
      <c r="A6" s="2" t="inlineStr">
        <is>
          <t>Beats exclusivos / mes</t>
        </is>
      </c>
      <c r="B6" s="2" t="n">
        <v>0</v>
      </c>
      <c r="C6" s="2" t="n">
        <v>1</v>
      </c>
      <c r="D6" s="2" t="n">
        <v>2</v>
      </c>
      <c r="E6" s="2" t="inlineStr">
        <is>
          <t>ventas</t>
        </is>
      </c>
      <c r="F6" s="2" t="inlineStr">
        <is>
          <t>Supuesto editable</t>
        </is>
      </c>
    </row>
    <row r="7">
      <c r="A7" s="2" t="inlineStr">
        <is>
          <t>Precio medio beat exclusivo</t>
        </is>
      </c>
      <c r="B7" s="2" t="n">
        <v>0</v>
      </c>
      <c r="C7" s="2" t="n">
        <v>450</v>
      </c>
      <c r="D7" s="2" t="n">
        <v>700</v>
      </c>
      <c r="E7" s="2" t="inlineStr">
        <is>
          <t>EUR</t>
        </is>
      </c>
      <c r="F7" s="2" t="inlineStr">
        <is>
          <t>Supuesto editable</t>
        </is>
      </c>
    </row>
    <row r="8">
      <c r="A8" s="2" t="inlineStr">
        <is>
          <t>Retainers / mes</t>
        </is>
      </c>
      <c r="B8" s="2" t="n">
        <v>0</v>
      </c>
      <c r="C8" s="2" t="n">
        <v>1</v>
      </c>
      <c r="D8" s="2" t="n">
        <v>3</v>
      </c>
      <c r="E8" s="2" t="inlineStr">
        <is>
          <t>clientes</t>
        </is>
      </c>
      <c r="F8" s="2" t="inlineStr">
        <is>
          <t>Supuesto editable</t>
        </is>
      </c>
    </row>
    <row r="9">
      <c r="A9" s="2" t="inlineStr">
        <is>
          <t>Precio medio retainer</t>
        </is>
      </c>
      <c r="B9" s="2" t="n">
        <v>0</v>
      </c>
      <c r="C9" s="2" t="n">
        <v>600</v>
      </c>
      <c r="D9" s="2" t="n">
        <v>900</v>
      </c>
      <c r="E9" s="2" t="inlineStr">
        <is>
          <t>EUR</t>
        </is>
      </c>
      <c r="F9" s="2" t="inlineStr">
        <is>
          <t>Supuesto editable</t>
        </is>
      </c>
    </row>
    <row r="10">
      <c r="A10" s="2" t="inlineStr">
        <is>
          <t>Coste variable / proyecto</t>
        </is>
      </c>
      <c r="B10" s="2" t="n">
        <v>120</v>
      </c>
      <c r="C10" s="2" t="n">
        <v>150</v>
      </c>
      <c r="D10" s="2" t="n">
        <v>220</v>
      </c>
      <c r="E10" s="2" t="inlineStr">
        <is>
          <t>EUR</t>
        </is>
      </c>
      <c r="F10" s="2" t="inlineStr">
        <is>
          <t>Supuesto editable</t>
        </is>
      </c>
    </row>
    <row r="11">
      <c r="A11" s="2" t="inlineStr">
        <is>
          <t>Coste variable / venta de beat</t>
        </is>
      </c>
      <c r="B11" s="2" t="n">
        <v>5</v>
      </c>
      <c r="C11" s="2" t="n">
        <v>7</v>
      </c>
      <c r="D11" s="2" t="n">
        <v>10</v>
      </c>
      <c r="E11" s="2" t="inlineStr">
        <is>
          <t>EUR</t>
        </is>
      </c>
      <c r="F11" s="2" t="inlineStr">
        <is>
          <t>Supuesto editable</t>
        </is>
      </c>
    </row>
    <row r="12">
      <c r="A12" s="2" t="inlineStr">
        <is>
          <t>Coste fijo mensual</t>
        </is>
      </c>
      <c r="B12" s="2" t="n">
        <v>250</v>
      </c>
      <c r="C12" s="2" t="n">
        <v>450</v>
      </c>
      <c r="D12" s="2" t="n">
        <v>850</v>
      </c>
      <c r="E12" s="2" t="inlineStr">
        <is>
          <t>EUR</t>
        </is>
      </c>
      <c r="F12" s="2" t="inlineStr">
        <is>
          <t>Supuesto editable</t>
        </is>
      </c>
    </row>
    <row r="13">
      <c r="A13" s="2" t="inlineStr">
        <is>
          <t>Marketing y adquisición mensual</t>
        </is>
      </c>
      <c r="B13" s="2" t="n">
        <v>50</v>
      </c>
      <c r="C13" s="2" t="n">
        <v>150</v>
      </c>
      <c r="D13" s="2" t="n">
        <v>400</v>
      </c>
      <c r="E13" s="2" t="inlineStr">
        <is>
          <t>EUR</t>
        </is>
      </c>
      <c r="F13" s="2" t="inlineStr">
        <is>
          <t>Supuesto editable</t>
        </is>
      </c>
    </row>
    <row r="14">
      <c r="A14" s="2" t="inlineStr">
        <is>
          <t>Caja inicial</t>
        </is>
      </c>
      <c r="B14" s="2" t="n">
        <v>1500</v>
      </c>
      <c r="C14" s="2" t="n">
        <v>3000</v>
      </c>
      <c r="D14" s="2" t="n">
        <v>6000</v>
      </c>
      <c r="E14" s="2" t="inlineStr">
        <is>
          <t>EUR</t>
        </is>
      </c>
      <c r="F14" s="2" t="inlineStr">
        <is>
          <t>Supuesto editable</t>
        </is>
      </c>
    </row>
    <row r="15">
      <c r="A15" s="2" t="inlineStr">
        <is>
          <t>Clientes activos al inicio</t>
        </is>
      </c>
      <c r="B15" s="2" t="n">
        <v>2</v>
      </c>
      <c r="C15" s="2" t="n">
        <v>4</v>
      </c>
      <c r="D15" s="2" t="n">
        <v>6</v>
      </c>
      <c r="E15" s="2" t="inlineStr">
        <is>
          <t>clientes</t>
        </is>
      </c>
      <c r="F15" s="2" t="inlineStr">
        <is>
          <t>Supuesto editable</t>
        </is>
      </c>
    </row>
    <row r="16">
      <c r="A16" s="2" t="inlineStr">
        <is>
          <t>Clientes nuevos / mes</t>
        </is>
      </c>
      <c r="B16" s="2" t="n">
        <v>1</v>
      </c>
      <c r="C16" s="2" t="n">
        <v>3</v>
      </c>
      <c r="D16" s="2" t="n">
        <v>6</v>
      </c>
      <c r="E16" s="2" t="inlineStr">
        <is>
          <t>clientes</t>
        </is>
      </c>
      <c r="F16" s="2" t="inlineStr">
        <is>
          <t>Supuesto editable</t>
        </is>
      </c>
    </row>
    <row r="17">
      <c r="A17" s="2" t="inlineStr">
        <is>
          <t>Clientes perdidos / mes</t>
        </is>
      </c>
      <c r="B17" s="2" t="n">
        <v>1</v>
      </c>
      <c r="C17" s="2" t="n">
        <v>1</v>
      </c>
      <c r="D17" s="2" t="n">
        <v>1</v>
      </c>
      <c r="E17" s="2" t="inlineStr">
        <is>
          <t>clientes</t>
        </is>
      </c>
      <c r="F17" s="2" t="inlineStr">
        <is>
          <t>Supuesto editable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38" customWidth="1" min="5" max="5"/>
  </cols>
  <sheetData>
    <row r="1">
      <c r="A1" s="1" t="inlineStr">
        <is>
          <t>Métrica</t>
        </is>
      </c>
      <c r="B1" s="1" t="inlineStr">
        <is>
          <t>Conservador</t>
        </is>
      </c>
      <c r="C1" s="1" t="inlineStr">
        <is>
          <t>Base</t>
        </is>
      </c>
      <c r="D1" s="1" t="inlineStr">
        <is>
          <t>Expansivo</t>
        </is>
      </c>
      <c r="E1" s="1" t="inlineStr">
        <is>
          <t>Interpretación</t>
        </is>
      </c>
    </row>
    <row r="2">
      <c r="A2" s="2" t="inlineStr">
        <is>
          <t>Ingresos producción / mes</t>
        </is>
      </c>
      <c r="B2" s="2">
        <f>Supuestos!B2*Supuestos!B3</f>
        <v/>
      </c>
      <c r="C2" s="2">
        <f>Supuestos!C2*Supuestos!C3</f>
        <v/>
      </c>
      <c r="D2" s="2">
        <f>Supuestos!D2*Supuestos!D3</f>
        <v/>
      </c>
      <c r="E2" s="2" t="inlineStr">
        <is>
          <t>Volumen por ticket</t>
        </is>
      </c>
    </row>
    <row r="3">
      <c r="A3" s="2" t="inlineStr">
        <is>
          <t>Ingresos beats no exclusivos / mes</t>
        </is>
      </c>
      <c r="B3" s="2">
        <f>Supuestos!B4*Supuestos!B5</f>
        <v/>
      </c>
      <c r="C3" s="2">
        <f>Supuestos!C4*Supuestos!C5</f>
        <v/>
      </c>
      <c r="D3" s="2">
        <f>Supuestos!D4*Supuestos!D5</f>
        <v/>
      </c>
      <c r="E3" s="2" t="inlineStr">
        <is>
          <t>Catálogo recurrente</t>
        </is>
      </c>
    </row>
    <row r="4">
      <c r="A4" s="2" t="inlineStr">
        <is>
          <t>Ingresos beats exclusivos / mes</t>
        </is>
      </c>
      <c r="B4" s="2">
        <f>Supuestos!B6*Supuestos!B7</f>
        <v/>
      </c>
      <c r="C4" s="2">
        <f>Supuestos!C6*Supuestos!C7</f>
        <v/>
      </c>
      <c r="D4" s="2">
        <f>Supuestos!D6*Supuestos!D7</f>
        <v/>
      </c>
      <c r="E4" s="2" t="inlineStr">
        <is>
          <t>Escasez y licencia</t>
        </is>
      </c>
    </row>
    <row r="5">
      <c r="A5" s="2" t="inlineStr">
        <is>
          <t>Ingresos retainers / mes</t>
        </is>
      </c>
      <c r="B5" s="2">
        <f>Supuestos!B8*Supuestos!B9</f>
        <v/>
      </c>
      <c r="C5" s="2">
        <f>Supuestos!C8*Supuestos!C9</f>
        <v/>
      </c>
      <c r="D5" s="2">
        <f>Supuestos!D8*Supuestos!D9</f>
        <v/>
      </c>
      <c r="E5" s="2" t="inlineStr">
        <is>
          <t>Previsibilidad</t>
        </is>
      </c>
    </row>
    <row r="6">
      <c r="A6" s="2" t="inlineStr">
        <is>
          <t>Ingresos totales / mes</t>
        </is>
      </c>
      <c r="B6" s="2">
        <f>SUM(B2:B5)</f>
        <v/>
      </c>
      <c r="C6" s="2">
        <f>SUM(C2:C5)</f>
        <v/>
      </c>
      <c r="D6" s="2">
        <f>SUM(D2:D5)</f>
        <v/>
      </c>
      <c r="E6" s="2" t="inlineStr">
        <is>
          <t>No equivale a caja cobrada</t>
        </is>
      </c>
    </row>
    <row r="7">
      <c r="A7" s="2" t="inlineStr">
        <is>
          <t>Costes variables / mes</t>
        </is>
      </c>
      <c r="B7" s="2">
        <f>Supuestos!B2*Supuestos!B10+Supuestos!B4*Supuestos!B11+Supuestos!B6*Supuestos!B11</f>
        <v/>
      </c>
      <c r="C7" s="2">
        <f>Supuestos!C2*Supuestos!C10+Supuestos!C4*Supuestos!C11+Supuestos!C6*Supuestos!C11</f>
        <v/>
      </c>
      <c r="D7" s="2">
        <f>Supuestos!D2*Supuestos!D10+Supuestos!D4*Supuestos!D11+Supuestos!D6*Supuestos!D11</f>
        <v/>
      </c>
      <c r="E7" s="2" t="inlineStr">
        <is>
          <t>Antes de costes fijos</t>
        </is>
      </c>
    </row>
    <row r="8">
      <c r="A8" s="2" t="inlineStr">
        <is>
          <t>Margen de contribución / mes</t>
        </is>
      </c>
      <c r="B8" s="2">
        <f>B6-B7</f>
        <v/>
      </c>
      <c r="C8" s="2">
        <f>C6-C7</f>
        <v/>
      </c>
      <c r="D8" s="2">
        <f>D6-D7</f>
        <v/>
      </c>
      <c r="E8" s="2" t="inlineStr">
        <is>
          <t>Ingresos menos variables</t>
        </is>
      </c>
    </row>
    <row r="9">
      <c r="A9" s="2" t="inlineStr">
        <is>
          <t>Costes fijos + marketing / mes</t>
        </is>
      </c>
      <c r="B9" s="2">
        <f>Supuestos!B12+Supuestos!B13</f>
        <v/>
      </c>
      <c r="C9" s="2">
        <f>Supuestos!C12+Supuestos!C13</f>
        <v/>
      </c>
      <c r="D9" s="2">
        <f>Supuestos!D12+Supuestos!D13</f>
        <v/>
      </c>
      <c r="E9" s="2" t="inlineStr">
        <is>
          <t>Gasto operativo</t>
        </is>
      </c>
    </row>
    <row r="10">
      <c r="A10" s="2" t="inlineStr">
        <is>
          <t>Resultado operativo aproximado / mes</t>
        </is>
      </c>
      <c r="B10" s="2">
        <f>B8-B9</f>
        <v/>
      </c>
      <c r="C10" s="2">
        <f>C8-C9</f>
        <v/>
      </c>
      <c r="D10" s="2">
        <f>D8-D9</f>
        <v/>
      </c>
      <c r="E10" s="2" t="inlineStr">
        <is>
          <t>No es beneficio fiscal</t>
        </is>
      </c>
    </row>
    <row r="11">
      <c r="A11" s="2" t="inlineStr">
        <is>
          <t>Punto de equilibrio de ingresos</t>
        </is>
      </c>
      <c r="B11" s="2">
        <f>B9/(1-B7/B6)</f>
        <v/>
      </c>
      <c r="C11" s="2">
        <f>C9/(1-C7/C6)</f>
        <v/>
      </c>
      <c r="D11" s="2">
        <f>D9/(1-D7/D6)</f>
        <v/>
      </c>
      <c r="E11" s="2" t="inlineStr">
        <is>
          <t>Ingresos aproximados</t>
        </is>
      </c>
    </row>
    <row r="12">
      <c r="A12" s="2" t="inlineStr">
        <is>
          <t>Runway en meses si resultado negativo</t>
        </is>
      </c>
      <c r="B12" s="2">
        <f>IF(B10&lt;0,Supuestos!B14/MAX(1,-B10),NA())</f>
        <v/>
      </c>
      <c r="C12" s="2">
        <f>IF(C10&lt;0,Supuestos!C14/MAX(1,-C10),NA())</f>
        <v/>
      </c>
      <c r="D12" s="2">
        <f>IF(D10&lt;0,Supuestos!D14/MAX(1,-D10),NA())</f>
        <v/>
      </c>
      <c r="E12" s="2" t="inlineStr">
        <is>
          <t>Caja / pérdida mensual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2" customWidth="1" min="5" max="5"/>
  </cols>
  <sheetData>
    <row r="1">
      <c r="A1" s="1" t="inlineStr">
        <is>
          <t>Mes</t>
        </is>
      </c>
      <c r="B1" s="1" t="inlineStr">
        <is>
          <t>Caja conservadora</t>
        </is>
      </c>
      <c r="C1" s="1" t="inlineStr">
        <is>
          <t>Caja base</t>
        </is>
      </c>
      <c r="D1" s="1" t="inlineStr">
        <is>
          <t>Caja expansiva</t>
        </is>
      </c>
      <c r="E1" s="1" t="inlineStr">
        <is>
          <t>Clientes activos base</t>
        </is>
      </c>
    </row>
    <row r="2">
      <c r="A2" s="2" t="n">
        <v>1</v>
      </c>
      <c r="B2" s="2">
        <f>Supuestos!B14+Escenarios!B10</f>
        <v/>
      </c>
      <c r="C2" s="2">
        <f>Supuestos!C14+Escenarios!C10</f>
        <v/>
      </c>
      <c r="D2" s="2">
        <f>Supuestos!D14+Escenarios!D10</f>
        <v/>
      </c>
      <c r="E2" s="2">
        <f>MAX(0,Supuestos!C15+Supuestos!C16-Supuestos!C17)</f>
        <v/>
      </c>
    </row>
    <row r="3">
      <c r="A3" s="2" t="n">
        <v>2</v>
      </c>
      <c r="B3" s="2">
        <f>B2+Escenarios!B10</f>
        <v/>
      </c>
      <c r="C3" s="2">
        <f>C2+Escenarios!C10</f>
        <v/>
      </c>
      <c r="D3" s="2">
        <f>D2+Escenarios!D10</f>
        <v/>
      </c>
      <c r="E3" s="2">
        <f>MAX(0,E2+Supuestos!C16-Supuestos!C17)</f>
        <v/>
      </c>
    </row>
    <row r="4">
      <c r="A4" s="2" t="n">
        <v>3</v>
      </c>
      <c r="B4" s="2">
        <f>B3+Escenarios!B10</f>
        <v/>
      </c>
      <c r="C4" s="2">
        <f>C3+Escenarios!C10</f>
        <v/>
      </c>
      <c r="D4" s="2">
        <f>D3+Escenarios!D10</f>
        <v/>
      </c>
      <c r="E4" s="2">
        <f>MAX(0,E3+Supuestos!C16-Supuestos!C17)</f>
        <v/>
      </c>
    </row>
    <row r="5">
      <c r="A5" s="2" t="n">
        <v>4</v>
      </c>
      <c r="B5" s="2">
        <f>B4+Escenarios!B10</f>
        <v/>
      </c>
      <c r="C5" s="2">
        <f>C4+Escenarios!C10</f>
        <v/>
      </c>
      <c r="D5" s="2">
        <f>D4+Escenarios!D10</f>
        <v/>
      </c>
      <c r="E5" s="2">
        <f>MAX(0,E4+Supuestos!C16-Supuestos!C17)</f>
        <v/>
      </c>
    </row>
    <row r="6">
      <c r="A6" s="2" t="n">
        <v>5</v>
      </c>
      <c r="B6" s="2">
        <f>B5+Escenarios!B10</f>
        <v/>
      </c>
      <c r="C6" s="2">
        <f>C5+Escenarios!C10</f>
        <v/>
      </c>
      <c r="D6" s="2">
        <f>D5+Escenarios!D10</f>
        <v/>
      </c>
      <c r="E6" s="2">
        <f>MAX(0,E5+Supuestos!C16-Supuestos!C17)</f>
        <v/>
      </c>
    </row>
    <row r="7">
      <c r="A7" s="2" t="n">
        <v>6</v>
      </c>
      <c r="B7" s="2">
        <f>B6+Escenarios!B10</f>
        <v/>
      </c>
      <c r="C7" s="2">
        <f>C6+Escenarios!C10</f>
        <v/>
      </c>
      <c r="D7" s="2">
        <f>D6+Escenarios!D10</f>
        <v/>
      </c>
      <c r="E7" s="2">
        <f>MAX(0,E6+Supuestos!C16-Supuestos!C17)</f>
        <v/>
      </c>
    </row>
    <row r="8">
      <c r="A8" s="2" t="n">
        <v>7</v>
      </c>
      <c r="B8" s="2">
        <f>B7+Escenarios!B10</f>
        <v/>
      </c>
      <c r="C8" s="2">
        <f>C7+Escenarios!C10</f>
        <v/>
      </c>
      <c r="D8" s="2">
        <f>D7+Escenarios!D10</f>
        <v/>
      </c>
      <c r="E8" s="2">
        <f>MAX(0,E7+Supuestos!C16-Supuestos!C17)</f>
        <v/>
      </c>
    </row>
    <row r="9">
      <c r="A9" s="2" t="n">
        <v>8</v>
      </c>
      <c r="B9" s="2">
        <f>B8+Escenarios!B10</f>
        <v/>
      </c>
      <c r="C9" s="2">
        <f>C8+Escenarios!C10</f>
        <v/>
      </c>
      <c r="D9" s="2">
        <f>D8+Escenarios!D10</f>
        <v/>
      </c>
      <c r="E9" s="2">
        <f>MAX(0,E8+Supuestos!C16-Supuestos!C17)</f>
        <v/>
      </c>
    </row>
    <row r="10">
      <c r="A10" s="2" t="n">
        <v>9</v>
      </c>
      <c r="B10" s="2">
        <f>B9+Escenarios!B10</f>
        <v/>
      </c>
      <c r="C10" s="2">
        <f>C9+Escenarios!C10</f>
        <v/>
      </c>
      <c r="D10" s="2">
        <f>D9+Escenarios!D10</f>
        <v/>
      </c>
      <c r="E10" s="2">
        <f>MAX(0,E9+Supuestos!C16-Supuestos!C17)</f>
        <v/>
      </c>
    </row>
    <row r="11">
      <c r="A11" s="2" t="n">
        <v>10</v>
      </c>
      <c r="B11" s="2">
        <f>B10+Escenarios!B10</f>
        <v/>
      </c>
      <c r="C11" s="2">
        <f>C10+Escenarios!C10</f>
        <v/>
      </c>
      <c r="D11" s="2">
        <f>D10+Escenarios!D10</f>
        <v/>
      </c>
      <c r="E11" s="2">
        <f>MAX(0,E10+Supuestos!C16-Supuestos!C17)</f>
        <v/>
      </c>
    </row>
    <row r="12">
      <c r="A12" s="2" t="n">
        <v>11</v>
      </c>
      <c r="B12" s="2">
        <f>B11+Escenarios!B10</f>
        <v/>
      </c>
      <c r="C12" s="2">
        <f>C11+Escenarios!C10</f>
        <v/>
      </c>
      <c r="D12" s="2">
        <f>D11+Escenarios!D10</f>
        <v/>
      </c>
      <c r="E12" s="2">
        <f>MAX(0,E11+Supuestos!C16-Supuestos!C17)</f>
        <v/>
      </c>
    </row>
    <row r="13">
      <c r="A13" s="2" t="n">
        <v>12</v>
      </c>
      <c r="B13" s="2">
        <f>B12+Escenarios!B10</f>
        <v/>
      </c>
      <c r="C13" s="2">
        <f>C12+Escenarios!C10</f>
        <v/>
      </c>
      <c r="D13" s="2">
        <f>D12+Escenarios!D10</f>
        <v/>
      </c>
      <c r="E13" s="2">
        <f>MAX(0,E12+Supuestos!C16-Supuestos!C17)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6" customWidth="1" min="2" max="2"/>
    <col width="56" customWidth="1" min="3" max="3"/>
  </cols>
  <sheetData>
    <row r="1">
      <c r="A1" s="1" t="inlineStr">
        <is>
          <t>Riesgo / métrica</t>
        </is>
      </c>
      <c r="B1" s="1" t="inlineStr">
        <is>
          <t>Umbral de alerta</t>
        </is>
      </c>
      <c r="C1" s="1" t="inlineStr">
        <is>
          <t>Acción</t>
        </is>
      </c>
    </row>
    <row r="2">
      <c r="A2" s="2" t="inlineStr">
        <is>
          <t>Concentración del mayor cliente</t>
        </is>
      </c>
      <c r="B2" s="2" t="inlineStr">
        <is>
          <t>&gt; 35% de ingresos</t>
        </is>
      </c>
      <c r="C2" s="2" t="inlineStr">
        <is>
          <t>Diversificar antes de aumentar costes fijos</t>
        </is>
      </c>
    </row>
    <row r="3">
      <c r="A3" s="2" t="inlineStr">
        <is>
          <t>Caja proyectada</t>
        </is>
      </c>
      <c r="B3" s="2" t="inlineStr">
        <is>
          <t>&lt; 3 meses de costes fijos</t>
        </is>
      </c>
      <c r="C3" s="2" t="inlineStr">
        <is>
          <t>Reducir gasto y priorizar cobros</t>
        </is>
      </c>
    </row>
    <row r="4">
      <c r="A4" s="2" t="inlineStr">
        <is>
          <t>Margen de contribución</t>
        </is>
      </c>
      <c r="B4" s="2" t="inlineStr">
        <is>
          <t>&lt; 50%</t>
        </is>
      </c>
      <c r="C4" s="2" t="inlineStr">
        <is>
          <t>Revisar ticket, alcance y costes</t>
        </is>
      </c>
    </row>
    <row r="5">
      <c r="A5" s="2" t="inlineStr">
        <is>
          <t>Revisiones extra</t>
        </is>
      </c>
      <c r="B5" s="2" t="inlineStr">
        <is>
          <t>&gt; 20% de proyectos</t>
        </is>
      </c>
      <c r="C5" s="2" t="inlineStr">
        <is>
          <t>Reforzar contrato y límite server-side</t>
        </is>
      </c>
    </row>
    <row r="6">
      <c r="A6" s="2" t="inlineStr">
        <is>
          <t>Pagos atrasados</t>
        </is>
      </c>
      <c r="B6" s="2" t="inlineStr">
        <is>
          <t>&gt; 15% de facturas</t>
        </is>
      </c>
      <c r="C6" s="2" t="inlineStr">
        <is>
          <t>Cobro anticipado o hitos</t>
        </is>
      </c>
    </row>
    <row r="7">
      <c r="A7" s="2" t="inlineStr">
        <is>
          <t>Dependencia de un canal</t>
        </is>
      </c>
      <c r="B7" s="2" t="inlineStr">
        <is>
          <t>&gt; 60% de leads</t>
        </is>
      </c>
      <c r="C7" s="2" t="inlineStr">
        <is>
          <t>Abrir canal directo y catálogo propio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2026-08-15T06:48:05Z</dcterms:created>
  <dcterms:modified xmlns:dcterms="http://purl.org/dc/terms/" xmlns:xsi="http://www.w3.org/2001/XMLSchema-instance" xsi:type="dcterms:W3CDTF">2026-08-15T06:48:05Z</dcterms:modified>
</cp:coreProperties>
</file>